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1cba60eb9c2dd9/Documents/"/>
    </mc:Choice>
  </mc:AlternateContent>
  <xr:revisionPtr revIDLastSave="182" documentId="8_{97E17A4E-2697-47A3-90DC-C4A32B983D61}" xr6:coauthVersionLast="47" xr6:coauthVersionMax="47" xr10:uidLastSave="{AE14F9CB-56A4-4877-A5A0-391218D384AE}"/>
  <bookViews>
    <workbookView xWindow="-108" yWindow="-108" windowWidth="23256" windowHeight="12456" xr2:uid="{3A15BAD0-337A-4E9C-9E6C-871D5546CA9B}"/>
  </bookViews>
  <sheets>
    <sheet name="Region-Wise Profit Margin Analy" sheetId="3" r:id="rId1"/>
    <sheet name="Category Growth Performance" sheetId="5" r:id="rId2"/>
    <sheet name="Category Revenue Analysis" sheetId="8" r:id="rId3"/>
    <sheet name="Sheet1" sheetId="1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8" i="1" l="1"/>
  <c r="N49" i="1"/>
  <c r="N50" i="1"/>
  <c r="N51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" i="1"/>
  <c r="N3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" i="1"/>
  <c r="M4" i="1"/>
  <c r="M3" i="1"/>
  <c r="L3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" i="1"/>
  <c r="R2" i="1" l="1"/>
  <c r="O2" i="1"/>
  <c r="Q2" i="1" s="1"/>
  <c r="K2" i="1"/>
</calcChain>
</file>

<file path=xl/sharedStrings.xml><?xml version="1.0" encoding="utf-8"?>
<sst xmlns="http://schemas.openxmlformats.org/spreadsheetml/2006/main" count="243" uniqueCount="61">
  <si>
    <t>Order_ID</t>
  </si>
  <si>
    <t>Order_date</t>
  </si>
  <si>
    <t>Customer Name</t>
  </si>
  <si>
    <t>Region</t>
  </si>
  <si>
    <t>Category</t>
  </si>
  <si>
    <t>Sales</t>
  </si>
  <si>
    <t>Quantity</t>
  </si>
  <si>
    <t>Profit</t>
  </si>
  <si>
    <t>Discount</t>
  </si>
  <si>
    <t>New Column</t>
  </si>
  <si>
    <t>Profit Margin</t>
  </si>
  <si>
    <t>Total Sales</t>
  </si>
  <si>
    <t>Total Orders</t>
  </si>
  <si>
    <t>Net Sales</t>
  </si>
  <si>
    <t>Rahul Sharma</t>
  </si>
  <si>
    <t>East</t>
  </si>
  <si>
    <t>Technology</t>
  </si>
  <si>
    <t>Priya Verma</t>
  </si>
  <si>
    <t>West</t>
  </si>
  <si>
    <t>Furniture</t>
  </si>
  <si>
    <t>Jan</t>
  </si>
  <si>
    <t>Amit Singh</t>
  </si>
  <si>
    <t>North</t>
  </si>
  <si>
    <t>Office Supplies</t>
  </si>
  <si>
    <t>Neha Gupta</t>
  </si>
  <si>
    <t>South</t>
  </si>
  <si>
    <t>Rohit Jain</t>
  </si>
  <si>
    <t>Sneha Kapoor</t>
  </si>
  <si>
    <t>Arjun Mehta</t>
  </si>
  <si>
    <t>Kajal Shah</t>
  </si>
  <si>
    <t>Vikas Yadav</t>
  </si>
  <si>
    <t>Anjali Roy</t>
  </si>
  <si>
    <t>Manish Kumar</t>
  </si>
  <si>
    <t>Pooja Singh</t>
  </si>
  <si>
    <t>Deepak Sharma</t>
  </si>
  <si>
    <t>Feb</t>
  </si>
  <si>
    <t>Riya Jain</t>
  </si>
  <si>
    <t>Karan Patel</t>
  </si>
  <si>
    <t>Simran Kaur</t>
  </si>
  <si>
    <t>Nikhil Gupta</t>
  </si>
  <si>
    <t>Megha shah</t>
  </si>
  <si>
    <t>Sachin Verma</t>
  </si>
  <si>
    <t>Anita Singh</t>
  </si>
  <si>
    <t>March</t>
  </si>
  <si>
    <t>April</t>
  </si>
  <si>
    <t>May</t>
  </si>
  <si>
    <t>Average Order Value</t>
  </si>
  <si>
    <t>Previous Month Sales</t>
  </si>
  <si>
    <t>Variance</t>
  </si>
  <si>
    <t>Growth%</t>
  </si>
  <si>
    <t>Row Labels</t>
  </si>
  <si>
    <t>Grand Total</t>
  </si>
  <si>
    <t>Sum of Sales</t>
  </si>
  <si>
    <t>Sum of Profit</t>
  </si>
  <si>
    <t>Average of Growth%</t>
  </si>
  <si>
    <t>contribution%</t>
  </si>
  <si>
    <t>,</t>
  </si>
  <si>
    <t>"Category Revenue Contribution Analysis"</t>
  </si>
  <si>
    <t>Sum of Profit Margin</t>
  </si>
  <si>
    <t xml:space="preserve">   "Region-wise Progit Margin Analysis"</t>
  </si>
  <si>
    <t>"Category Growth Performance"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</si>
</sst>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theme="5" tint="-0.249977111117893"/>
      <name val="Calibri"/>
      <family val="2"/>
      <scheme val="minor"/>
    </font>
    <font>
      <u/>
      <sz val="11"/>
      <color theme="5" tint="-0.249977111117893"/>
      <name val="Calibri"/>
      <family val="2"/>
      <scheme val="minor"/>
    </font>
    <font>
      <b/>
      <u/>
      <sz val="24"/>
      <color theme="5" tint="-0.249977111117893"/>
      <name val="Calibri"/>
      <family val="2"/>
      <scheme val="minor"/>
    </font>
    <font>
      <b/>
      <u/>
      <sz val="2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14" fontId="0" fillId="0" borderId="0" xfId="0" applyNumberFormat="1"/>
    <xf numFmtId="0" fontId="0" fillId="0" borderId="0" xfId="2" applyNumberFormat="1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7.541582638885" createdVersion="8" refreshedVersion="8" minRefreshableVersion="3" recordCount="50" xr:uid="{5C2E9C59-4D74-451C-A5B7-C9B9450E5B36}">
  <cacheSource type="worksheet">
    <worksheetSource ref="A1:R51" sheet="Sheet1"/>
  </cacheSource>
  <cacheFields count="20">
    <cacheField name="Order_ID" numFmtId="0">
      <sharedItems containsSemiMixedTypes="0" containsString="0" containsNumber="1" containsInteger="1" minValue="1001" maxValue="1050"/>
    </cacheField>
    <cacheField name="Order_date" numFmtId="14">
      <sharedItems containsSemiMixedTypes="0" containsNonDate="0" containsDate="1" containsString="0" minDate="2023-01-01T00:00:00" maxDate="2023-12-05T00:00:00" count="50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d v="2023-01-05T00:00:00"/>
        <d v="2023-02-05T00:00:00"/>
      </sharedItems>
      <fieldGroup par="19"/>
    </cacheField>
    <cacheField name="Customer Name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3">
        <s v="Technology"/>
        <s v="Furniture"/>
        <s v="Office Supplies"/>
      </sharedItems>
    </cacheField>
    <cacheField name="Sales" numFmtId="0">
      <sharedItems containsSemiMixedTypes="0" containsString="0" containsNumber="1" containsInteger="1" minValue="2600" maxValue="24000"/>
    </cacheField>
    <cacheField name="Quantity" numFmtId="0">
      <sharedItems containsSemiMixedTypes="0" containsString="0" containsNumber="1" containsInteger="1" minValue="1" maxValue="6"/>
    </cacheField>
    <cacheField name="Profit" numFmtId="0">
      <sharedItems containsSemiMixedTypes="0" containsString="0" containsNumber="1" containsInteger="1" minValue="420" maxValue="7000"/>
    </cacheField>
    <cacheField name="Discount" numFmtId="0">
      <sharedItems containsSemiMixedTypes="0" containsString="0" containsNumber="1" minValue="0" maxValue="0.5"/>
    </cacheField>
    <cacheField name="New Column" numFmtId="0">
      <sharedItems/>
    </cacheField>
    <cacheField name="Profit Margin" numFmtId="9">
      <sharedItems containsSemiMixedTypes="0" containsString="0" containsNumber="1" minValue="0.12957746478873239" maxValue="0.29565217391304349"/>
    </cacheField>
    <cacheField name="Previous Month Sales" numFmtId="0">
      <sharedItems containsString="0" containsBlank="1" containsNumber="1" containsInteger="1" minValue="2600" maxValue="24000"/>
    </cacheField>
    <cacheField name="Variance" numFmtId="0">
      <sharedItems containsString="0" containsBlank="1" containsNumber="1" containsInteger="1" minValue="-14600" maxValue="20100"/>
    </cacheField>
    <cacheField name="Growth%" numFmtId="10">
      <sharedItems containsString="0" containsBlank="1" containsNumber="1" minValue="-0.69523809523809521" maxValue="6.2413793103448274"/>
    </cacheField>
    <cacheField name="Total Sales" numFmtId="0">
      <sharedItems containsString="0" containsBlank="1" containsNumber="1" containsInteger="1" minValue="496900" maxValue="496900"/>
    </cacheField>
    <cacheField name="Total Orders" numFmtId="0">
      <sharedItems containsString="0" containsBlank="1" containsNumber="1" containsInteger="1" minValue="50" maxValue="50"/>
    </cacheField>
    <cacheField name="Average Order Value" numFmtId="0">
      <sharedItems containsString="0" containsBlank="1" containsNumber="1" containsInteger="1" minValue="9938" maxValue="9938"/>
    </cacheField>
    <cacheField name="Net Sales" numFmtId="0">
      <sharedItems containsString="0" containsBlank="1" containsNumber="1" containsInteger="1" minValue="10800" maxValue="10800"/>
    </cacheField>
    <cacheField name="Days (Order_date)" numFmtId="0" databaseField="0">
      <fieldGroup base="1">
        <rangePr groupBy="days" startDate="2023-01-01T00:00:00" endDate="2023-12-05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3"/>
        </groupItems>
      </fieldGroup>
    </cacheField>
    <cacheField name="Months (Order_date)" numFmtId="0" databaseField="0">
      <fieldGroup base="1">
        <rangePr groupBy="months" startDate="2023-01-01T00:00:00" endDate="2023-12-05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s v="Rahul Sharma"/>
    <x v="0"/>
    <x v="0"/>
    <n v="12000"/>
    <n v="2"/>
    <n v="3000"/>
    <n v="0.1"/>
    <s v="Jan"/>
    <n v="0.25"/>
    <m/>
    <m/>
    <m/>
    <n v="496900"/>
    <n v="50"/>
    <n v="9938"/>
    <n v="10800"/>
  </r>
  <r>
    <n v="1002"/>
    <x v="1"/>
    <s v="Priya Verma"/>
    <x v="1"/>
    <x v="1"/>
    <n v="8500"/>
    <n v="1"/>
    <n v="1300"/>
    <n v="0.2"/>
    <s v="Jan"/>
    <n v="0.15294117647058825"/>
    <n v="12000"/>
    <n v="-3500"/>
    <n v="-0.29166666666666669"/>
    <m/>
    <m/>
    <m/>
    <m/>
  </r>
  <r>
    <n v="1003"/>
    <x v="2"/>
    <s v="Amit Singh"/>
    <x v="2"/>
    <x v="2"/>
    <n v="3200"/>
    <n v="5"/>
    <n v="600"/>
    <n v="0"/>
    <s v="Jan"/>
    <n v="0.1875"/>
    <n v="8500"/>
    <n v="-5300"/>
    <n v="-0.62352941176470589"/>
    <m/>
    <m/>
    <m/>
    <m/>
  </r>
  <r>
    <n v="1004"/>
    <x v="3"/>
    <s v="Neha Gupta"/>
    <x v="3"/>
    <x v="0"/>
    <n v="15500"/>
    <n v="3"/>
    <n v="4200"/>
    <n v="0.15"/>
    <s v="Jan"/>
    <n v="0.2709677419354839"/>
    <n v="3200"/>
    <n v="12300"/>
    <n v="3.84375"/>
    <m/>
    <m/>
    <m/>
    <m/>
  </r>
  <r>
    <n v="1005"/>
    <x v="4"/>
    <s v="Rohit Jain"/>
    <x v="0"/>
    <x v="1"/>
    <n v="7200"/>
    <n v="2"/>
    <n v="950"/>
    <n v="0.25"/>
    <s v="Jan"/>
    <n v="0.13194444444444445"/>
    <n v="15500"/>
    <n v="-8300"/>
    <n v="-0.53548387096774197"/>
    <m/>
    <m/>
    <m/>
    <m/>
  </r>
  <r>
    <n v="1006"/>
    <x v="5"/>
    <s v="Sneha Kapoor"/>
    <x v="1"/>
    <x v="2"/>
    <n v="2600"/>
    <n v="4"/>
    <n v="450"/>
    <n v="0"/>
    <s v="Jan"/>
    <n v="0.17307692307692307"/>
    <n v="7200"/>
    <n v="-4600"/>
    <n v="-0.63888888888888884"/>
    <m/>
    <m/>
    <m/>
    <m/>
  </r>
  <r>
    <n v="1007"/>
    <x v="6"/>
    <s v="Arjun Mehta"/>
    <x v="2"/>
    <x v="0"/>
    <n v="18500"/>
    <n v="2"/>
    <n v="5200"/>
    <n v="0.1"/>
    <s v="Jan"/>
    <n v="0.2810810810810811"/>
    <n v="2600"/>
    <n v="15900"/>
    <n v="6.115384615384615"/>
    <m/>
    <m/>
    <m/>
    <m/>
  </r>
  <r>
    <n v="1008"/>
    <x v="7"/>
    <s v="Kajal Shah"/>
    <x v="3"/>
    <x v="1"/>
    <n v="6100"/>
    <n v="1"/>
    <n v="850"/>
    <n v="0.2"/>
    <s v="Jan"/>
    <n v="0.13934426229508196"/>
    <n v="18500"/>
    <n v="-12400"/>
    <n v="-0.67027027027027031"/>
    <m/>
    <m/>
    <m/>
    <m/>
  </r>
  <r>
    <n v="1009"/>
    <x v="8"/>
    <s v="Vikas Yadav"/>
    <x v="0"/>
    <x v="2"/>
    <n v="3600"/>
    <n v="6"/>
    <n v="650"/>
    <n v="0"/>
    <s v="Jan"/>
    <n v="0.18055555555555555"/>
    <n v="6100"/>
    <n v="-2500"/>
    <n v="-0.4098360655737705"/>
    <m/>
    <m/>
    <m/>
    <m/>
  </r>
  <r>
    <n v="1010"/>
    <x v="9"/>
    <s v="Anjali Roy"/>
    <x v="1"/>
    <x v="0"/>
    <n v="21000"/>
    <n v="3"/>
    <n v="6200"/>
    <n v="0.5"/>
    <s v="Jan"/>
    <n v="0.29523809523809524"/>
    <n v="3600"/>
    <n v="17400"/>
    <n v="4.833333333333333"/>
    <m/>
    <m/>
    <m/>
    <m/>
  </r>
  <r>
    <n v="1011"/>
    <x v="10"/>
    <s v="Manish Kumar"/>
    <x v="2"/>
    <x v="1"/>
    <n v="9200"/>
    <n v="2"/>
    <n v="1600"/>
    <n v="0.15"/>
    <s v="Jan"/>
    <n v="0.17391304347826086"/>
    <n v="21000"/>
    <n v="-11800"/>
    <n v="-0.56190476190476191"/>
    <m/>
    <m/>
    <m/>
    <m/>
  </r>
  <r>
    <n v="1012"/>
    <x v="11"/>
    <s v="Pooja Singh"/>
    <x v="3"/>
    <x v="2"/>
    <n v="4100"/>
    <n v="5"/>
    <n v="750"/>
    <n v="0"/>
    <s v="Jan"/>
    <n v="0.18292682926829268"/>
    <n v="9200"/>
    <n v="-5100"/>
    <n v="-0.55434782608695654"/>
    <m/>
    <m/>
    <m/>
    <m/>
  </r>
  <r>
    <n v="1013"/>
    <x v="12"/>
    <s v="Deepak Sharma"/>
    <x v="0"/>
    <x v="0"/>
    <n v="14000"/>
    <n v="2"/>
    <n v="3500"/>
    <n v="0.1"/>
    <s v="Feb"/>
    <n v="0.25"/>
    <n v="4100"/>
    <n v="9900"/>
    <n v="2.4146341463414633"/>
    <m/>
    <m/>
    <m/>
    <m/>
  </r>
  <r>
    <n v="1014"/>
    <x v="13"/>
    <s v="Riya Jain"/>
    <x v="1"/>
    <x v="1"/>
    <n v="7800"/>
    <n v="1"/>
    <n v="1200"/>
    <n v="0.2"/>
    <s v="Feb"/>
    <n v="0.15384615384615385"/>
    <n v="14000"/>
    <n v="-6200"/>
    <n v="-0.44285714285714284"/>
    <m/>
    <m/>
    <m/>
    <m/>
  </r>
  <r>
    <n v="1015"/>
    <x v="14"/>
    <s v="Karan Patel"/>
    <x v="2"/>
    <x v="2"/>
    <n v="3300"/>
    <n v="5"/>
    <n v="550"/>
    <n v="0"/>
    <s v="Feb"/>
    <n v="0.16666666666666666"/>
    <n v="7800"/>
    <n v="-4500"/>
    <n v="-0.57692307692307687"/>
    <m/>
    <m/>
    <m/>
    <m/>
  </r>
  <r>
    <n v="1016"/>
    <x v="15"/>
    <s v="Simran Kaur"/>
    <x v="3"/>
    <x v="0"/>
    <n v="16000"/>
    <n v="3"/>
    <n v="4300"/>
    <n v="0.15"/>
    <s v="Feb"/>
    <n v="0.26874999999999999"/>
    <n v="3300"/>
    <n v="12700"/>
    <n v="3.8484848484848486"/>
    <m/>
    <m/>
    <m/>
    <m/>
  </r>
  <r>
    <n v="1017"/>
    <x v="16"/>
    <s v="Nikhil Gupta"/>
    <x v="0"/>
    <x v="1"/>
    <n v="6900"/>
    <n v="2"/>
    <n v="900"/>
    <n v="0.25"/>
    <s v="Feb"/>
    <n v="0.13043478260869565"/>
    <n v="16000"/>
    <n v="-9100"/>
    <n v="-0.56874999999999998"/>
    <m/>
    <m/>
    <m/>
    <m/>
  </r>
  <r>
    <n v="1018"/>
    <x v="17"/>
    <s v="Megha shah"/>
    <x v="1"/>
    <x v="2"/>
    <n v="2700"/>
    <n v="4"/>
    <n v="420"/>
    <n v="0"/>
    <s v="Feb"/>
    <n v="0.15555555555555556"/>
    <n v="6900"/>
    <n v="-4200"/>
    <n v="-0.60869565217391308"/>
    <m/>
    <m/>
    <m/>
    <m/>
  </r>
  <r>
    <n v="1019"/>
    <x v="18"/>
    <s v="Sachin Verma"/>
    <x v="2"/>
    <x v="0"/>
    <n v="19000"/>
    <n v="2"/>
    <n v="5400"/>
    <n v="0.1"/>
    <s v="Feb"/>
    <n v="0.28421052631578947"/>
    <n v="2700"/>
    <n v="16300"/>
    <n v="6.0370370370370372"/>
    <m/>
    <m/>
    <m/>
    <m/>
  </r>
  <r>
    <n v="1020"/>
    <x v="19"/>
    <s v="Anita Singh"/>
    <x v="3"/>
    <x v="1"/>
    <n v="6200"/>
    <n v="1"/>
    <n v="870"/>
    <n v="0.2"/>
    <s v="Feb"/>
    <n v="0.14032258064516129"/>
    <n v="19000"/>
    <n v="-12800"/>
    <n v="-0.67368421052631577"/>
    <m/>
    <m/>
    <m/>
    <m/>
  </r>
  <r>
    <n v="1021"/>
    <x v="20"/>
    <s v="Rahul Sharma"/>
    <x v="0"/>
    <x v="2"/>
    <n v="3700"/>
    <n v="6"/>
    <n v="680"/>
    <n v="0"/>
    <s v="Feb"/>
    <n v="0.18378378378378379"/>
    <n v="6200"/>
    <n v="-2500"/>
    <n v="-0.40322580645161288"/>
    <m/>
    <m/>
    <m/>
    <m/>
  </r>
  <r>
    <n v="1022"/>
    <x v="21"/>
    <s v="Priya Verma"/>
    <x v="1"/>
    <x v="0"/>
    <n v="22000"/>
    <n v="3"/>
    <n v="6500"/>
    <n v="0.05"/>
    <s v="Feb"/>
    <n v="0.29545454545454547"/>
    <n v="3700"/>
    <n v="18300"/>
    <n v="4.9459459459459456"/>
    <m/>
    <m/>
    <m/>
    <m/>
  </r>
  <r>
    <n v="1023"/>
    <x v="22"/>
    <s v="Amit Singh"/>
    <x v="2"/>
    <x v="1"/>
    <n v="9400"/>
    <n v="2"/>
    <n v="1700"/>
    <n v="0.15"/>
    <s v="Feb"/>
    <n v="0.18085106382978725"/>
    <n v="22000"/>
    <n v="-12600"/>
    <n v="-0.57272727272727275"/>
    <m/>
    <m/>
    <m/>
    <m/>
  </r>
  <r>
    <n v="1024"/>
    <x v="23"/>
    <s v="Neha Gupta"/>
    <x v="3"/>
    <x v="2"/>
    <n v="4200"/>
    <n v="5"/>
    <n v="780"/>
    <n v="0"/>
    <s v="Feb"/>
    <n v="0.18571428571428572"/>
    <n v="9400"/>
    <n v="-5200"/>
    <n v="-0.55319148936170215"/>
    <m/>
    <m/>
    <m/>
    <m/>
  </r>
  <r>
    <n v="1025"/>
    <x v="24"/>
    <s v="Rohit Jain"/>
    <x v="0"/>
    <x v="0"/>
    <n v="15000"/>
    <n v="2"/>
    <n v="3600"/>
    <n v="0.1"/>
    <s v="March"/>
    <n v="0.24"/>
    <n v="4200"/>
    <n v="10800"/>
    <n v="2.5714285714285716"/>
    <m/>
    <m/>
    <m/>
    <m/>
  </r>
  <r>
    <n v="1026"/>
    <x v="25"/>
    <s v="Sneha Kapoor"/>
    <x v="1"/>
    <x v="1"/>
    <n v="8000"/>
    <n v="1"/>
    <n v="1250"/>
    <n v="0.2"/>
    <s v="March"/>
    <n v="0.15625"/>
    <n v="15000"/>
    <n v="-7000"/>
    <n v="-0.46666666666666667"/>
    <m/>
    <m/>
    <m/>
    <m/>
  </r>
  <r>
    <n v="1027"/>
    <x v="26"/>
    <s v="Arjun Mehta"/>
    <x v="2"/>
    <x v="2"/>
    <n v="3400"/>
    <n v="5"/>
    <n v="600"/>
    <n v="0"/>
    <s v="March"/>
    <n v="0.17647058823529413"/>
    <n v="8000"/>
    <n v="-4600"/>
    <n v="-0.57499999999999996"/>
    <m/>
    <m/>
    <m/>
    <m/>
  </r>
  <r>
    <n v="1028"/>
    <x v="27"/>
    <s v="Kajal Shah"/>
    <x v="3"/>
    <x v="0"/>
    <n v="17000"/>
    <n v="3"/>
    <n v="4500"/>
    <n v="0.15"/>
    <s v="March"/>
    <n v="0.26470588235294118"/>
    <n v="3400"/>
    <n v="13600"/>
    <n v="4"/>
    <m/>
    <m/>
    <m/>
    <m/>
  </r>
  <r>
    <n v="1029"/>
    <x v="28"/>
    <s v="Vikas Yadav"/>
    <x v="0"/>
    <x v="1"/>
    <n v="7100"/>
    <n v="2"/>
    <n v="920"/>
    <n v="0.25"/>
    <s v="March"/>
    <n v="0.12957746478873239"/>
    <n v="17000"/>
    <n v="-9900"/>
    <n v="-0.58235294117647063"/>
    <m/>
    <m/>
    <m/>
    <m/>
  </r>
  <r>
    <n v="1030"/>
    <x v="29"/>
    <s v="Anjali Roy"/>
    <x v="1"/>
    <x v="2"/>
    <n v="2800"/>
    <n v="4"/>
    <n v="460"/>
    <n v="0"/>
    <s v="March"/>
    <n v="0.16428571428571428"/>
    <n v="7100"/>
    <n v="-4300"/>
    <n v="-0.60563380281690138"/>
    <m/>
    <m/>
    <m/>
    <m/>
  </r>
  <r>
    <n v="1031"/>
    <x v="30"/>
    <s v="Manish Kumar"/>
    <x v="2"/>
    <x v="0"/>
    <n v="20000"/>
    <n v="2"/>
    <n v="5800"/>
    <n v="0.1"/>
    <s v="March"/>
    <n v="0.28999999999999998"/>
    <n v="2800"/>
    <n v="17200"/>
    <n v="6.1428571428571432"/>
    <m/>
    <m/>
    <m/>
    <m/>
  </r>
  <r>
    <n v="1032"/>
    <x v="31"/>
    <s v="Pooja Singh"/>
    <x v="3"/>
    <x v="1"/>
    <n v="6300"/>
    <n v="1"/>
    <n v="900"/>
    <n v="0.2"/>
    <s v="March"/>
    <n v="0.14285714285714285"/>
    <n v="20000"/>
    <n v="-13700"/>
    <n v="-0.68500000000000005"/>
    <m/>
    <m/>
    <m/>
    <m/>
  </r>
  <r>
    <n v="1033"/>
    <x v="32"/>
    <s v="Deepak Sharma"/>
    <x v="0"/>
    <x v="2"/>
    <n v="3800"/>
    <n v="6"/>
    <n v="700"/>
    <n v="0"/>
    <s v="March"/>
    <n v="0.18421052631578946"/>
    <n v="6300"/>
    <n v="-2500"/>
    <n v="-0.3968253968253968"/>
    <m/>
    <m/>
    <m/>
    <m/>
  </r>
  <r>
    <n v="1034"/>
    <x v="33"/>
    <s v="Riya Jain"/>
    <x v="1"/>
    <x v="0"/>
    <n v="23000"/>
    <n v="3"/>
    <n v="6800"/>
    <n v="0.05"/>
    <s v="March"/>
    <n v="0.29565217391304349"/>
    <n v="3800"/>
    <n v="19200"/>
    <n v="5.0526315789473681"/>
    <m/>
    <m/>
    <m/>
    <m/>
  </r>
  <r>
    <n v="1035"/>
    <x v="34"/>
    <s v="Karan Patel"/>
    <x v="2"/>
    <x v="1"/>
    <n v="9600"/>
    <n v="2"/>
    <n v="1800"/>
    <n v="0.15"/>
    <s v="March"/>
    <n v="0.1875"/>
    <n v="23000"/>
    <n v="-13400"/>
    <n v="-0.58260869565217388"/>
    <m/>
    <m/>
    <m/>
    <m/>
  </r>
  <r>
    <n v="1036"/>
    <x v="35"/>
    <s v="Simran Kaur"/>
    <x v="3"/>
    <x v="2"/>
    <n v="4300"/>
    <n v="5"/>
    <n v="800"/>
    <n v="0"/>
    <s v="March"/>
    <n v="0.18604651162790697"/>
    <n v="9600"/>
    <n v="-5300"/>
    <n v="-0.55208333333333337"/>
    <m/>
    <m/>
    <m/>
    <m/>
  </r>
  <r>
    <n v="1037"/>
    <x v="36"/>
    <s v="Nikhil Gupta"/>
    <x v="0"/>
    <x v="0"/>
    <n v="16000"/>
    <n v="2"/>
    <n v="3700"/>
    <n v="0.1"/>
    <s v="April"/>
    <n v="0.23125000000000001"/>
    <n v="4300"/>
    <n v="11700"/>
    <n v="2.7209302325581395"/>
    <m/>
    <m/>
    <m/>
    <m/>
  </r>
  <r>
    <n v="1038"/>
    <x v="37"/>
    <s v="Megha shah"/>
    <x v="1"/>
    <x v="1"/>
    <n v="8200"/>
    <n v="1"/>
    <n v="1300"/>
    <n v="0.2"/>
    <s v="April"/>
    <n v="0.15853658536585366"/>
    <n v="16000"/>
    <n v="-7800"/>
    <n v="-0.48749999999999999"/>
    <m/>
    <m/>
    <m/>
    <m/>
  </r>
  <r>
    <n v="1039"/>
    <x v="38"/>
    <s v="Sachin Verma"/>
    <x v="2"/>
    <x v="2"/>
    <n v="3500"/>
    <n v="5"/>
    <n v="620"/>
    <n v="0"/>
    <s v="April"/>
    <n v="0.17714285714285713"/>
    <n v="8200"/>
    <n v="-4700"/>
    <n v="-0.57317073170731703"/>
    <m/>
    <m/>
    <m/>
    <m/>
  </r>
  <r>
    <n v="1040"/>
    <x v="39"/>
    <s v="Anita Singh"/>
    <x v="3"/>
    <x v="0"/>
    <n v="17500"/>
    <n v="3"/>
    <n v="4700"/>
    <n v="0.15"/>
    <s v="April"/>
    <n v="0.26857142857142857"/>
    <n v="3500"/>
    <n v="14000"/>
    <n v="4"/>
    <m/>
    <m/>
    <m/>
    <m/>
  </r>
  <r>
    <n v="1041"/>
    <x v="40"/>
    <s v="Rahul Sharma"/>
    <x v="0"/>
    <x v="1"/>
    <n v="7300"/>
    <n v="2"/>
    <n v="950"/>
    <n v="0.25"/>
    <s v="April"/>
    <n v="0.13013698630136986"/>
    <n v="17500"/>
    <n v="-10200"/>
    <n v="-0.58285714285714285"/>
    <m/>
    <m/>
    <m/>
    <m/>
  </r>
  <r>
    <n v="1042"/>
    <x v="41"/>
    <s v="Priya Verma"/>
    <x v="1"/>
    <x v="2"/>
    <n v="2900"/>
    <n v="4"/>
    <n v="480"/>
    <n v="0"/>
    <s v="April"/>
    <n v="0.16551724137931034"/>
    <n v="7300"/>
    <n v="-4400"/>
    <n v="-0.60273972602739723"/>
    <m/>
    <m/>
    <m/>
    <m/>
  </r>
  <r>
    <n v="1043"/>
    <x v="42"/>
    <s v="Amit Singh"/>
    <x v="2"/>
    <x v="0"/>
    <n v="21000"/>
    <n v="2"/>
    <n v="6000"/>
    <n v="0.1"/>
    <s v="April"/>
    <n v="0.2857142857142857"/>
    <n v="2900"/>
    <n v="18100"/>
    <n v="6.2413793103448274"/>
    <m/>
    <m/>
    <m/>
    <m/>
  </r>
  <r>
    <n v="1044"/>
    <x v="43"/>
    <s v="Neha Gupta"/>
    <x v="3"/>
    <x v="1"/>
    <n v="6400"/>
    <n v="1"/>
    <n v="920"/>
    <n v="0.2"/>
    <s v="April"/>
    <n v="0.14374999999999999"/>
    <n v="21000"/>
    <n v="-14600"/>
    <n v="-0.69523809523809521"/>
    <m/>
    <m/>
    <m/>
    <m/>
  </r>
  <r>
    <n v="1045"/>
    <x v="44"/>
    <s v="Rohit Jain"/>
    <x v="0"/>
    <x v="2"/>
    <n v="3900"/>
    <n v="6"/>
    <n v="720"/>
    <n v="0"/>
    <s v="April"/>
    <n v="0.18461538461538463"/>
    <n v="6400"/>
    <n v="-2500"/>
    <n v="-0.390625"/>
    <m/>
    <m/>
    <m/>
    <m/>
  </r>
  <r>
    <n v="1046"/>
    <x v="45"/>
    <s v="Sneha Kapoor"/>
    <x v="1"/>
    <x v="0"/>
    <n v="24000"/>
    <n v="3"/>
    <n v="7000"/>
    <n v="0.05"/>
    <s v="April"/>
    <n v="0.29166666666666669"/>
    <n v="3900"/>
    <n v="20100"/>
    <n v="5.1538461538461542"/>
    <m/>
    <m/>
    <m/>
    <m/>
  </r>
  <r>
    <n v="1047"/>
    <x v="46"/>
    <s v="Arjun Mehta"/>
    <x v="2"/>
    <x v="1"/>
    <n v="9800"/>
    <n v="2"/>
    <n v="1900"/>
    <n v="0.15"/>
    <s v="April"/>
    <n v="0.19387755102040816"/>
    <n v="24000"/>
    <n v="-14200"/>
    <n v="-0.59166666666666667"/>
    <m/>
    <m/>
    <m/>
    <m/>
  </r>
  <r>
    <n v="1048"/>
    <x v="47"/>
    <s v="Kajal Shah"/>
    <x v="3"/>
    <x v="2"/>
    <n v="4400"/>
    <n v="5"/>
    <n v="820"/>
    <n v="0"/>
    <s v="April"/>
    <n v="0.18636363636363637"/>
    <n v="9800"/>
    <n v="-5400"/>
    <n v="-0.55102040816326525"/>
    <m/>
    <m/>
    <m/>
    <m/>
  </r>
  <r>
    <n v="1049"/>
    <x v="48"/>
    <s v="Vikas Yadav"/>
    <x v="0"/>
    <x v="0"/>
    <n v="16500"/>
    <n v="2"/>
    <n v="3800"/>
    <n v="0.1"/>
    <s v="May"/>
    <n v="0.23030303030303031"/>
    <n v="4400"/>
    <n v="12100"/>
    <n v="2.75"/>
    <m/>
    <m/>
    <m/>
    <m/>
  </r>
  <r>
    <n v="1050"/>
    <x v="49"/>
    <s v="Anjali Roy"/>
    <x v="1"/>
    <x v="1"/>
    <n v="8500"/>
    <n v="1"/>
    <n v="1350"/>
    <n v="0.2"/>
    <s v="May"/>
    <n v="0.1588235294117647"/>
    <n v="16500"/>
    <n v="-8000"/>
    <n v="-0.4848484848484848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91124-12C1-4639-A43E-CACE6CA5D17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H13" firstHeaderRow="0" firstDataRow="1" firstDataCol="1"/>
  <pivotFields count="20">
    <pivotField showAll="0"/>
    <pivotField numFmtId="14" showAll="0">
      <items count="51">
        <item x="0"/>
        <item x="12"/>
        <item x="24"/>
        <item x="36"/>
        <item x="48"/>
        <item x="1"/>
        <item x="13"/>
        <item x="25"/>
        <item x="37"/>
        <item x="49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7" baseField="0" baseItem="0"/>
    <dataField name="Sum of Sales" fld="5" baseField="0" baseItem="0"/>
    <dataField name="Sum of Profit Margin" fld="10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A0F97-8380-42F2-BB3B-718865CA8E2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G12" firstHeaderRow="1" firstDataRow="1" firstDataCol="1"/>
  <pivotFields count="20">
    <pivotField showAll="0"/>
    <pivotField numFmtId="14" showAll="0">
      <items count="51">
        <item x="0"/>
        <item x="12"/>
        <item x="24"/>
        <item x="36"/>
        <item x="48"/>
        <item x="1"/>
        <item x="13"/>
        <item x="25"/>
        <item x="37"/>
        <item x="49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Growth%" fld="1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90C2B-997B-4F09-8CD0-4A1BB9754B26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7:H11" firstHeaderRow="0" firstDataRow="1" firstDataCol="1"/>
  <pivotFields count="20">
    <pivotField showAll="0"/>
    <pivotField numFmtId="14" showAll="0">
      <items count="51">
        <item x="0"/>
        <item x="12"/>
        <item x="24"/>
        <item x="36"/>
        <item x="48"/>
        <item x="1"/>
        <item x="13"/>
        <item x="25"/>
        <item x="37"/>
        <item x="49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contribution%" fld="5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5828-440E-4711-8A62-07A8AC42125B}">
  <dimension ref="D5:H13"/>
  <sheetViews>
    <sheetView tabSelected="1" workbookViewId="0">
      <selection activeCell="J8" sqref="J8"/>
    </sheetView>
  </sheetViews>
  <sheetFormatPr defaultRowHeight="14.4" x14ac:dyDescent="0.3"/>
  <cols>
    <col min="1" max="1" width="12.5546875" bestFit="1" customWidth="1"/>
    <col min="2" max="2" width="18.6640625" customWidth="1"/>
    <col min="3" max="3" width="21.5546875" customWidth="1"/>
    <col min="4" max="4" width="8.44140625" customWidth="1"/>
    <col min="5" max="5" width="13" customWidth="1"/>
    <col min="6" max="6" width="12.5546875" customWidth="1"/>
    <col min="7" max="7" width="11.5546875" customWidth="1"/>
    <col min="8" max="8" width="18.77734375" customWidth="1"/>
  </cols>
  <sheetData>
    <row r="5" spans="4:8" ht="31.2" x14ac:dyDescent="0.6">
      <c r="D5" s="12" t="s">
        <v>59</v>
      </c>
    </row>
    <row r="8" spans="4:8" x14ac:dyDescent="0.3">
      <c r="E8" s="5" t="s">
        <v>50</v>
      </c>
      <c r="F8" t="s">
        <v>53</v>
      </c>
      <c r="G8" t="s">
        <v>52</v>
      </c>
      <c r="H8" t="s">
        <v>58</v>
      </c>
    </row>
    <row r="9" spans="4:8" x14ac:dyDescent="0.3">
      <c r="E9" s="6" t="s">
        <v>15</v>
      </c>
      <c r="F9" s="7">
        <v>24070</v>
      </c>
      <c r="G9" s="7">
        <v>117000</v>
      </c>
      <c r="H9" s="9">
        <v>2.456811958716786</v>
      </c>
    </row>
    <row r="10" spans="4:8" x14ac:dyDescent="0.3">
      <c r="E10" s="6" t="s">
        <v>22</v>
      </c>
      <c r="F10" s="7">
        <v>31770</v>
      </c>
      <c r="G10" s="7">
        <v>129900</v>
      </c>
      <c r="H10" s="9">
        <v>2.5849276634844305</v>
      </c>
    </row>
    <row r="11" spans="4:8" x14ac:dyDescent="0.3">
      <c r="E11" s="6" t="s">
        <v>25</v>
      </c>
      <c r="F11" s="7">
        <v>24390</v>
      </c>
      <c r="G11" s="7">
        <v>108000</v>
      </c>
      <c r="H11" s="9">
        <v>2.3803203016313614</v>
      </c>
    </row>
    <row r="12" spans="4:8" x14ac:dyDescent="0.3">
      <c r="E12" s="6" t="s">
        <v>18</v>
      </c>
      <c r="F12" s="7">
        <v>34710</v>
      </c>
      <c r="G12" s="7">
        <v>142000</v>
      </c>
      <c r="H12" s="9">
        <v>2.6168443606642144</v>
      </c>
    </row>
    <row r="13" spans="4:8" x14ac:dyDescent="0.3">
      <c r="E13" s="6" t="s">
        <v>51</v>
      </c>
      <c r="F13" s="7">
        <v>114940</v>
      </c>
      <c r="G13" s="7">
        <v>496900</v>
      </c>
      <c r="H13" s="9">
        <v>10.038904284496791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DF8D-731A-4E25-BE8B-4444BCFEA8EE}">
  <dimension ref="E5:G12"/>
  <sheetViews>
    <sheetView workbookViewId="0">
      <selection activeCell="N15" sqref="N15"/>
    </sheetView>
  </sheetViews>
  <sheetFormatPr defaultRowHeight="14.4" x14ac:dyDescent="0.3"/>
  <cols>
    <col min="1" max="1" width="13.109375" bestFit="1" customWidth="1"/>
    <col min="2" max="2" width="18.44140625" bestFit="1" customWidth="1"/>
    <col min="6" max="6" width="16.109375" customWidth="1"/>
    <col min="7" max="7" width="19" customWidth="1"/>
  </cols>
  <sheetData>
    <row r="5" spans="5:7" ht="28.8" x14ac:dyDescent="0.55000000000000004">
      <c r="E5" s="13" t="s">
        <v>60</v>
      </c>
    </row>
    <row r="8" spans="5:7" x14ac:dyDescent="0.3">
      <c r="F8" s="5" t="s">
        <v>50</v>
      </c>
      <c r="G8" t="s">
        <v>54</v>
      </c>
    </row>
    <row r="9" spans="5:7" x14ac:dyDescent="0.3">
      <c r="F9" s="6" t="s">
        <v>19</v>
      </c>
      <c r="G9" s="7">
        <v>-0.55741664053093376</v>
      </c>
    </row>
    <row r="10" spans="5:7" x14ac:dyDescent="0.3">
      <c r="F10" s="6" t="s">
        <v>23</v>
      </c>
      <c r="G10" s="7">
        <v>-0.53848353850613973</v>
      </c>
    </row>
    <row r="11" spans="5:7" x14ac:dyDescent="0.3">
      <c r="F11" s="6" t="s">
        <v>16</v>
      </c>
      <c r="G11" s="7">
        <v>4.416977682281841</v>
      </c>
    </row>
    <row r="12" spans="5:7" x14ac:dyDescent="0.3">
      <c r="F12" s="6" t="s">
        <v>51</v>
      </c>
      <c r="G12" s="7">
        <v>1.0730576206405171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F8AF-1FC6-4536-BBEF-6BDCF24E0E0B}">
  <dimension ref="D1:J11"/>
  <sheetViews>
    <sheetView workbookViewId="0">
      <selection activeCell="N22" sqref="N22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2.6640625" bestFit="1" customWidth="1"/>
    <col min="6" max="6" width="13.21875" customWidth="1"/>
    <col min="7" max="7" width="12.88671875" customWidth="1"/>
    <col min="8" max="8" width="12.6640625" customWidth="1"/>
  </cols>
  <sheetData>
    <row r="1" spans="4:10" x14ac:dyDescent="0.3">
      <c r="D1" t="s">
        <v>56</v>
      </c>
    </row>
    <row r="4" spans="4:10" ht="25.8" x14ac:dyDescent="0.5">
      <c r="E4" s="10" t="s">
        <v>57</v>
      </c>
      <c r="F4" s="11"/>
      <c r="G4" s="11"/>
      <c r="H4" s="11"/>
      <c r="I4" s="11"/>
      <c r="J4" s="11"/>
    </row>
    <row r="7" spans="4:10" x14ac:dyDescent="0.3">
      <c r="F7" s="5" t="s">
        <v>50</v>
      </c>
      <c r="G7" t="s">
        <v>52</v>
      </c>
      <c r="H7" t="s">
        <v>55</v>
      </c>
    </row>
    <row r="8" spans="4:10" x14ac:dyDescent="0.3">
      <c r="F8" s="6" t="s">
        <v>19</v>
      </c>
      <c r="G8" s="7">
        <v>132500</v>
      </c>
      <c r="H8" s="8">
        <v>0.26665325015093583</v>
      </c>
    </row>
    <row r="9" spans="4:10" x14ac:dyDescent="0.3">
      <c r="F9" s="6" t="s">
        <v>23</v>
      </c>
      <c r="G9" s="7">
        <v>56400</v>
      </c>
      <c r="H9" s="8">
        <v>0.11350372308311532</v>
      </c>
    </row>
    <row r="10" spans="4:10" x14ac:dyDescent="0.3">
      <c r="F10" s="6" t="s">
        <v>16</v>
      </c>
      <c r="G10" s="7">
        <v>308000</v>
      </c>
      <c r="H10" s="8">
        <v>0.61984302676594893</v>
      </c>
    </row>
    <row r="11" spans="4:10" x14ac:dyDescent="0.3">
      <c r="F11" s="6" t="s">
        <v>51</v>
      </c>
      <c r="G11" s="7">
        <v>496900</v>
      </c>
      <c r="H11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2A30-2736-4011-985E-1E745B7058CA}">
  <dimension ref="A1:R51"/>
  <sheetViews>
    <sheetView zoomScale="116" workbookViewId="0">
      <selection activeCell="A4" sqref="A1:R51"/>
    </sheetView>
  </sheetViews>
  <sheetFormatPr defaultRowHeight="14.4" x14ac:dyDescent="0.3"/>
  <cols>
    <col min="2" max="2" width="10.109375" customWidth="1"/>
    <col min="3" max="3" width="14.109375" customWidth="1"/>
    <col min="4" max="4" width="7.109375" customWidth="1"/>
    <col min="5" max="5" width="13.33203125" customWidth="1"/>
    <col min="6" max="6" width="6.5546875" customWidth="1"/>
    <col min="7" max="7" width="7.88671875" customWidth="1"/>
    <col min="8" max="8" width="6.109375" customWidth="1"/>
    <col min="9" max="9" width="8.21875" customWidth="1"/>
    <col min="10" max="10" width="11.109375" customWidth="1"/>
    <col min="11" max="11" width="11.77734375" customWidth="1"/>
    <col min="12" max="12" width="18.21875" customWidth="1"/>
    <col min="13" max="13" width="7.6640625" customWidth="1"/>
    <col min="14" max="14" width="9.109375" style="4" customWidth="1"/>
    <col min="15" max="15" width="9.88671875" customWidth="1"/>
    <col min="16" max="16" width="11.44140625" customWidth="1"/>
    <col min="17" max="17" width="17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47</v>
      </c>
      <c r="M1" s="1" t="s">
        <v>48</v>
      </c>
      <c r="N1" s="4" t="s">
        <v>49</v>
      </c>
      <c r="O1" t="s">
        <v>11</v>
      </c>
      <c r="P1" t="s">
        <v>12</v>
      </c>
      <c r="Q1" t="s">
        <v>46</v>
      </c>
      <c r="R1" t="s">
        <v>13</v>
      </c>
    </row>
    <row r="2" spans="1:18" x14ac:dyDescent="0.3">
      <c r="A2">
        <v>1001</v>
      </c>
      <c r="B2" s="2">
        <v>44927</v>
      </c>
      <c r="C2" t="s">
        <v>14</v>
      </c>
      <c r="D2" t="s">
        <v>15</v>
      </c>
      <c r="E2" t="s">
        <v>16</v>
      </c>
      <c r="F2">
        <v>12000</v>
      </c>
      <c r="G2">
        <v>2</v>
      </c>
      <c r="H2">
        <v>3000</v>
      </c>
      <c r="I2">
        <v>0.1</v>
      </c>
      <c r="J2" t="str">
        <f>TEXT(B2,"mmm")</f>
        <v>Jan</v>
      </c>
      <c r="K2" s="1">
        <f>H2/F2</f>
        <v>0.25</v>
      </c>
      <c r="L2" s="1"/>
      <c r="M2" s="1"/>
      <c r="O2">
        <f>SUM(F:F)</f>
        <v>496900</v>
      </c>
      <c r="P2">
        <v>50</v>
      </c>
      <c r="Q2">
        <f>O2/P2</f>
        <v>9938</v>
      </c>
      <c r="R2">
        <f>F2*(1-I2)</f>
        <v>10800</v>
      </c>
    </row>
    <row r="3" spans="1:18" x14ac:dyDescent="0.3">
      <c r="A3">
        <v>1002</v>
      </c>
      <c r="B3" s="2">
        <v>44958</v>
      </c>
      <c r="C3" t="s">
        <v>17</v>
      </c>
      <c r="D3" t="s">
        <v>18</v>
      </c>
      <c r="E3" t="s">
        <v>19</v>
      </c>
      <c r="F3">
        <v>8500</v>
      </c>
      <c r="G3">
        <v>1</v>
      </c>
      <c r="H3">
        <v>1300</v>
      </c>
      <c r="I3">
        <v>0.2</v>
      </c>
      <c r="J3" t="s">
        <v>20</v>
      </c>
      <c r="K3" s="1">
        <f t="shared" ref="K3:K51" si="0">H3/F3</f>
        <v>0.15294117647058825</v>
      </c>
      <c r="L3" s="3">
        <f>F2</f>
        <v>12000</v>
      </c>
      <c r="M3" s="3">
        <f>F3-L3</f>
        <v>-3500</v>
      </c>
      <c r="N3" s="4">
        <f>M3/L3</f>
        <v>-0.29166666666666669</v>
      </c>
    </row>
    <row r="4" spans="1:18" x14ac:dyDescent="0.3">
      <c r="A4">
        <v>1003</v>
      </c>
      <c r="B4" s="2">
        <v>44986</v>
      </c>
      <c r="C4" t="s">
        <v>21</v>
      </c>
      <c r="D4" t="s">
        <v>22</v>
      </c>
      <c r="E4" t="s">
        <v>23</v>
      </c>
      <c r="F4">
        <v>3200</v>
      </c>
      <c r="G4">
        <v>5</v>
      </c>
      <c r="H4">
        <v>600</v>
      </c>
      <c r="I4">
        <v>0</v>
      </c>
      <c r="J4" t="s">
        <v>20</v>
      </c>
      <c r="K4" s="1">
        <f t="shared" si="0"/>
        <v>0.1875</v>
      </c>
      <c r="L4">
        <v>8500</v>
      </c>
      <c r="M4">
        <f>F4-L4</f>
        <v>-5300</v>
      </c>
      <c r="N4" s="4">
        <f>M4/L4</f>
        <v>-0.62352941176470589</v>
      </c>
    </row>
    <row r="5" spans="1:18" x14ac:dyDescent="0.3">
      <c r="A5">
        <v>1004</v>
      </c>
      <c r="B5" s="2">
        <v>45017</v>
      </c>
      <c r="C5" t="s">
        <v>24</v>
      </c>
      <c r="D5" t="s">
        <v>25</v>
      </c>
      <c r="E5" t="s">
        <v>16</v>
      </c>
      <c r="F5">
        <v>15500</v>
      </c>
      <c r="G5">
        <v>3</v>
      </c>
      <c r="H5">
        <v>4200</v>
      </c>
      <c r="I5">
        <v>0.15</v>
      </c>
      <c r="J5" t="s">
        <v>20</v>
      </c>
      <c r="K5" s="1">
        <f t="shared" si="0"/>
        <v>0.2709677419354839</v>
      </c>
      <c r="L5">
        <v>3200</v>
      </c>
      <c r="M5" s="3">
        <f t="shared" ref="M5:M51" si="1">F5-L5</f>
        <v>12300</v>
      </c>
      <c r="N5" s="4">
        <f t="shared" ref="N5:N51" si="2">M5/L5</f>
        <v>3.84375</v>
      </c>
    </row>
    <row r="6" spans="1:18" x14ac:dyDescent="0.3">
      <c r="A6">
        <v>1005</v>
      </c>
      <c r="B6" s="2">
        <v>45047</v>
      </c>
      <c r="C6" t="s">
        <v>26</v>
      </c>
      <c r="D6" t="s">
        <v>15</v>
      </c>
      <c r="E6" t="s">
        <v>19</v>
      </c>
      <c r="F6">
        <v>7200</v>
      </c>
      <c r="G6">
        <v>2</v>
      </c>
      <c r="H6">
        <v>950</v>
      </c>
      <c r="I6">
        <v>0.25</v>
      </c>
      <c r="J6" t="s">
        <v>20</v>
      </c>
      <c r="K6" s="1">
        <f t="shared" si="0"/>
        <v>0.13194444444444445</v>
      </c>
      <c r="L6">
        <v>15500</v>
      </c>
      <c r="M6" s="3">
        <f t="shared" si="1"/>
        <v>-8300</v>
      </c>
      <c r="N6" s="4">
        <f t="shared" si="2"/>
        <v>-0.53548387096774197</v>
      </c>
    </row>
    <row r="7" spans="1:18" x14ac:dyDescent="0.3">
      <c r="A7">
        <v>1006</v>
      </c>
      <c r="B7" s="2">
        <v>45078</v>
      </c>
      <c r="C7" t="s">
        <v>27</v>
      </c>
      <c r="D7" t="s">
        <v>18</v>
      </c>
      <c r="E7" t="s">
        <v>23</v>
      </c>
      <c r="F7">
        <v>2600</v>
      </c>
      <c r="G7">
        <v>4</v>
      </c>
      <c r="H7">
        <v>450</v>
      </c>
      <c r="I7">
        <v>0</v>
      </c>
      <c r="J7" t="s">
        <v>20</v>
      </c>
      <c r="K7" s="1">
        <f t="shared" si="0"/>
        <v>0.17307692307692307</v>
      </c>
      <c r="L7">
        <v>7200</v>
      </c>
      <c r="M7">
        <f t="shared" si="1"/>
        <v>-4600</v>
      </c>
      <c r="N7" s="4">
        <f t="shared" si="2"/>
        <v>-0.63888888888888884</v>
      </c>
    </row>
    <row r="8" spans="1:18" x14ac:dyDescent="0.3">
      <c r="A8">
        <v>1007</v>
      </c>
      <c r="B8" s="2">
        <v>45108</v>
      </c>
      <c r="C8" t="s">
        <v>28</v>
      </c>
      <c r="D8" t="s">
        <v>22</v>
      </c>
      <c r="E8" t="s">
        <v>16</v>
      </c>
      <c r="F8">
        <v>18500</v>
      </c>
      <c r="G8">
        <v>2</v>
      </c>
      <c r="H8">
        <v>5200</v>
      </c>
      <c r="I8">
        <v>0.1</v>
      </c>
      <c r="J8" t="s">
        <v>20</v>
      </c>
      <c r="K8" s="1">
        <f t="shared" si="0"/>
        <v>0.2810810810810811</v>
      </c>
      <c r="L8">
        <v>2600</v>
      </c>
      <c r="M8" s="3">
        <f t="shared" si="1"/>
        <v>15900</v>
      </c>
      <c r="N8" s="4">
        <f t="shared" si="2"/>
        <v>6.115384615384615</v>
      </c>
    </row>
    <row r="9" spans="1:18" x14ac:dyDescent="0.3">
      <c r="A9">
        <v>1008</v>
      </c>
      <c r="B9" s="2">
        <v>45139</v>
      </c>
      <c r="C9" t="s">
        <v>29</v>
      </c>
      <c r="D9" t="s">
        <v>25</v>
      </c>
      <c r="E9" t="s">
        <v>19</v>
      </c>
      <c r="F9">
        <v>6100</v>
      </c>
      <c r="G9">
        <v>1</v>
      </c>
      <c r="H9">
        <v>850</v>
      </c>
      <c r="I9">
        <v>0.2</v>
      </c>
      <c r="J9" t="s">
        <v>20</v>
      </c>
      <c r="K9" s="1">
        <f t="shared" si="0"/>
        <v>0.13934426229508196</v>
      </c>
      <c r="L9">
        <v>18500</v>
      </c>
      <c r="M9" s="3">
        <f t="shared" si="1"/>
        <v>-12400</v>
      </c>
      <c r="N9" s="4">
        <f t="shared" si="2"/>
        <v>-0.67027027027027031</v>
      </c>
    </row>
    <row r="10" spans="1:18" x14ac:dyDescent="0.3">
      <c r="A10">
        <v>1009</v>
      </c>
      <c r="B10" s="2">
        <v>45170</v>
      </c>
      <c r="C10" t="s">
        <v>30</v>
      </c>
      <c r="D10" t="s">
        <v>15</v>
      </c>
      <c r="E10" t="s">
        <v>23</v>
      </c>
      <c r="F10">
        <v>3600</v>
      </c>
      <c r="G10">
        <v>6</v>
      </c>
      <c r="H10">
        <v>650</v>
      </c>
      <c r="I10">
        <v>0</v>
      </c>
      <c r="J10" t="s">
        <v>20</v>
      </c>
      <c r="K10" s="1">
        <f t="shared" si="0"/>
        <v>0.18055555555555555</v>
      </c>
      <c r="L10">
        <v>6100</v>
      </c>
      <c r="M10">
        <f t="shared" si="1"/>
        <v>-2500</v>
      </c>
      <c r="N10" s="4">
        <f t="shared" si="2"/>
        <v>-0.4098360655737705</v>
      </c>
    </row>
    <row r="11" spans="1:18" x14ac:dyDescent="0.3">
      <c r="A11">
        <v>1010</v>
      </c>
      <c r="B11" s="2">
        <v>45200</v>
      </c>
      <c r="C11" t="s">
        <v>31</v>
      </c>
      <c r="D11" t="s">
        <v>18</v>
      </c>
      <c r="E11" t="s">
        <v>16</v>
      </c>
      <c r="F11">
        <v>21000</v>
      </c>
      <c r="G11">
        <v>3</v>
      </c>
      <c r="H11">
        <v>6200</v>
      </c>
      <c r="I11">
        <v>0.5</v>
      </c>
      <c r="J11" t="s">
        <v>20</v>
      </c>
      <c r="K11" s="1">
        <f t="shared" si="0"/>
        <v>0.29523809523809524</v>
      </c>
      <c r="L11">
        <v>3600</v>
      </c>
      <c r="M11" s="3">
        <f t="shared" si="1"/>
        <v>17400</v>
      </c>
      <c r="N11" s="4">
        <f t="shared" si="2"/>
        <v>4.833333333333333</v>
      </c>
    </row>
    <row r="12" spans="1:18" x14ac:dyDescent="0.3">
      <c r="A12">
        <v>1011</v>
      </c>
      <c r="B12" s="2">
        <v>45231</v>
      </c>
      <c r="C12" t="s">
        <v>32</v>
      </c>
      <c r="D12" t="s">
        <v>22</v>
      </c>
      <c r="E12" t="s">
        <v>19</v>
      </c>
      <c r="F12">
        <v>9200</v>
      </c>
      <c r="G12">
        <v>2</v>
      </c>
      <c r="H12">
        <v>1600</v>
      </c>
      <c r="I12">
        <v>0.15</v>
      </c>
      <c r="J12" t="s">
        <v>20</v>
      </c>
      <c r="K12" s="1">
        <f t="shared" si="0"/>
        <v>0.17391304347826086</v>
      </c>
      <c r="L12">
        <v>21000</v>
      </c>
      <c r="M12" s="3">
        <f t="shared" si="1"/>
        <v>-11800</v>
      </c>
      <c r="N12" s="4">
        <f t="shared" si="2"/>
        <v>-0.56190476190476191</v>
      </c>
    </row>
    <row r="13" spans="1:18" x14ac:dyDescent="0.3">
      <c r="A13">
        <v>1012</v>
      </c>
      <c r="B13" s="2">
        <v>45261</v>
      </c>
      <c r="C13" t="s">
        <v>33</v>
      </c>
      <c r="D13" t="s">
        <v>25</v>
      </c>
      <c r="E13" t="s">
        <v>23</v>
      </c>
      <c r="F13">
        <v>4100</v>
      </c>
      <c r="G13">
        <v>5</v>
      </c>
      <c r="H13">
        <v>750</v>
      </c>
      <c r="I13">
        <v>0</v>
      </c>
      <c r="J13" t="s">
        <v>20</v>
      </c>
      <c r="K13" s="1">
        <f t="shared" si="0"/>
        <v>0.18292682926829268</v>
      </c>
      <c r="L13">
        <v>9200</v>
      </c>
      <c r="M13">
        <f t="shared" si="1"/>
        <v>-5100</v>
      </c>
      <c r="N13" s="4">
        <f t="shared" si="2"/>
        <v>-0.55434782608695654</v>
      </c>
    </row>
    <row r="14" spans="1:18" x14ac:dyDescent="0.3">
      <c r="A14">
        <v>1013</v>
      </c>
      <c r="B14" s="2">
        <v>44928</v>
      </c>
      <c r="C14" t="s">
        <v>34</v>
      </c>
      <c r="D14" t="s">
        <v>15</v>
      </c>
      <c r="E14" t="s">
        <v>16</v>
      </c>
      <c r="F14">
        <v>14000</v>
      </c>
      <c r="G14">
        <v>2</v>
      </c>
      <c r="H14">
        <v>3500</v>
      </c>
      <c r="I14">
        <v>0.1</v>
      </c>
      <c r="J14" t="s">
        <v>35</v>
      </c>
      <c r="K14" s="1">
        <f t="shared" si="0"/>
        <v>0.25</v>
      </c>
      <c r="L14">
        <v>4100</v>
      </c>
      <c r="M14" s="3">
        <f t="shared" si="1"/>
        <v>9900</v>
      </c>
      <c r="N14" s="4">
        <f t="shared" si="2"/>
        <v>2.4146341463414633</v>
      </c>
    </row>
    <row r="15" spans="1:18" x14ac:dyDescent="0.3">
      <c r="A15">
        <v>1014</v>
      </c>
      <c r="B15" s="2">
        <v>44959</v>
      </c>
      <c r="C15" t="s">
        <v>36</v>
      </c>
      <c r="D15" t="s">
        <v>18</v>
      </c>
      <c r="E15" t="s">
        <v>19</v>
      </c>
      <c r="F15">
        <v>7800</v>
      </c>
      <c r="G15">
        <v>1</v>
      </c>
      <c r="H15">
        <v>1200</v>
      </c>
      <c r="I15">
        <v>0.2</v>
      </c>
      <c r="J15" t="s">
        <v>35</v>
      </c>
      <c r="K15" s="1">
        <f t="shared" si="0"/>
        <v>0.15384615384615385</v>
      </c>
      <c r="L15">
        <v>14000</v>
      </c>
      <c r="M15" s="3">
        <f t="shared" si="1"/>
        <v>-6200</v>
      </c>
      <c r="N15" s="4">
        <f t="shared" si="2"/>
        <v>-0.44285714285714284</v>
      </c>
    </row>
    <row r="16" spans="1:18" x14ac:dyDescent="0.3">
      <c r="A16">
        <v>1015</v>
      </c>
      <c r="B16" s="2">
        <v>44987</v>
      </c>
      <c r="C16" t="s">
        <v>37</v>
      </c>
      <c r="D16" t="s">
        <v>22</v>
      </c>
      <c r="E16" t="s">
        <v>23</v>
      </c>
      <c r="F16">
        <v>3300</v>
      </c>
      <c r="G16">
        <v>5</v>
      </c>
      <c r="H16">
        <v>550</v>
      </c>
      <c r="I16">
        <v>0</v>
      </c>
      <c r="J16" t="s">
        <v>35</v>
      </c>
      <c r="K16" s="1">
        <f t="shared" si="0"/>
        <v>0.16666666666666666</v>
      </c>
      <c r="L16">
        <v>7800</v>
      </c>
      <c r="M16">
        <f t="shared" si="1"/>
        <v>-4500</v>
      </c>
      <c r="N16" s="4">
        <f t="shared" si="2"/>
        <v>-0.57692307692307687</v>
      </c>
    </row>
    <row r="17" spans="1:14" x14ac:dyDescent="0.3">
      <c r="A17">
        <v>1016</v>
      </c>
      <c r="B17" s="2">
        <v>45018</v>
      </c>
      <c r="C17" t="s">
        <v>38</v>
      </c>
      <c r="D17" t="s">
        <v>25</v>
      </c>
      <c r="E17" t="s">
        <v>16</v>
      </c>
      <c r="F17">
        <v>16000</v>
      </c>
      <c r="G17">
        <v>3</v>
      </c>
      <c r="H17">
        <v>4300</v>
      </c>
      <c r="I17">
        <v>0.15</v>
      </c>
      <c r="J17" t="s">
        <v>35</v>
      </c>
      <c r="K17" s="1">
        <f t="shared" si="0"/>
        <v>0.26874999999999999</v>
      </c>
      <c r="L17">
        <v>3300</v>
      </c>
      <c r="M17" s="3">
        <f t="shared" si="1"/>
        <v>12700</v>
      </c>
      <c r="N17" s="4">
        <f t="shared" si="2"/>
        <v>3.8484848484848486</v>
      </c>
    </row>
    <row r="18" spans="1:14" x14ac:dyDescent="0.3">
      <c r="A18">
        <v>1017</v>
      </c>
      <c r="B18" s="2">
        <v>45048</v>
      </c>
      <c r="C18" t="s">
        <v>39</v>
      </c>
      <c r="D18" t="s">
        <v>15</v>
      </c>
      <c r="E18" t="s">
        <v>19</v>
      </c>
      <c r="F18">
        <v>6900</v>
      </c>
      <c r="G18">
        <v>2</v>
      </c>
      <c r="H18">
        <v>900</v>
      </c>
      <c r="I18">
        <v>0.25</v>
      </c>
      <c r="J18" t="s">
        <v>35</v>
      </c>
      <c r="K18" s="1">
        <f t="shared" si="0"/>
        <v>0.13043478260869565</v>
      </c>
      <c r="L18">
        <v>16000</v>
      </c>
      <c r="M18" s="3">
        <f t="shared" si="1"/>
        <v>-9100</v>
      </c>
      <c r="N18" s="4">
        <f t="shared" si="2"/>
        <v>-0.56874999999999998</v>
      </c>
    </row>
    <row r="19" spans="1:14" x14ac:dyDescent="0.3">
      <c r="A19">
        <v>1018</v>
      </c>
      <c r="B19" s="2">
        <v>45079</v>
      </c>
      <c r="C19" t="s">
        <v>40</v>
      </c>
      <c r="D19" t="s">
        <v>18</v>
      </c>
      <c r="E19" t="s">
        <v>23</v>
      </c>
      <c r="F19">
        <v>2700</v>
      </c>
      <c r="G19">
        <v>4</v>
      </c>
      <c r="H19">
        <v>420</v>
      </c>
      <c r="I19">
        <v>0</v>
      </c>
      <c r="J19" t="s">
        <v>35</v>
      </c>
      <c r="K19" s="1">
        <f t="shared" si="0"/>
        <v>0.15555555555555556</v>
      </c>
      <c r="L19">
        <v>6900</v>
      </c>
      <c r="M19">
        <f t="shared" si="1"/>
        <v>-4200</v>
      </c>
      <c r="N19" s="4">
        <f t="shared" si="2"/>
        <v>-0.60869565217391308</v>
      </c>
    </row>
    <row r="20" spans="1:14" x14ac:dyDescent="0.3">
      <c r="A20">
        <v>1019</v>
      </c>
      <c r="B20" s="2">
        <v>45109</v>
      </c>
      <c r="C20" t="s">
        <v>41</v>
      </c>
      <c r="D20" t="s">
        <v>22</v>
      </c>
      <c r="E20" t="s">
        <v>16</v>
      </c>
      <c r="F20">
        <v>19000</v>
      </c>
      <c r="G20">
        <v>2</v>
      </c>
      <c r="H20">
        <v>5400</v>
      </c>
      <c r="I20">
        <v>0.1</v>
      </c>
      <c r="J20" t="s">
        <v>35</v>
      </c>
      <c r="K20" s="1">
        <f t="shared" si="0"/>
        <v>0.28421052631578947</v>
      </c>
      <c r="L20">
        <v>2700</v>
      </c>
      <c r="M20" s="3">
        <f t="shared" si="1"/>
        <v>16300</v>
      </c>
      <c r="N20" s="4">
        <f t="shared" si="2"/>
        <v>6.0370370370370372</v>
      </c>
    </row>
    <row r="21" spans="1:14" x14ac:dyDescent="0.3">
      <c r="A21">
        <v>1020</v>
      </c>
      <c r="B21" s="2">
        <v>45140</v>
      </c>
      <c r="C21" t="s">
        <v>42</v>
      </c>
      <c r="D21" t="s">
        <v>25</v>
      </c>
      <c r="E21" t="s">
        <v>19</v>
      </c>
      <c r="F21">
        <v>6200</v>
      </c>
      <c r="G21">
        <v>1</v>
      </c>
      <c r="H21">
        <v>870</v>
      </c>
      <c r="I21">
        <v>0.2</v>
      </c>
      <c r="J21" t="s">
        <v>35</v>
      </c>
      <c r="K21" s="1">
        <f t="shared" si="0"/>
        <v>0.14032258064516129</v>
      </c>
      <c r="L21">
        <v>19000</v>
      </c>
      <c r="M21" s="3">
        <f t="shared" si="1"/>
        <v>-12800</v>
      </c>
      <c r="N21" s="4">
        <f t="shared" si="2"/>
        <v>-0.67368421052631577</v>
      </c>
    </row>
    <row r="22" spans="1:14" x14ac:dyDescent="0.3">
      <c r="A22">
        <v>1021</v>
      </c>
      <c r="B22" s="2">
        <v>45171</v>
      </c>
      <c r="C22" t="s">
        <v>14</v>
      </c>
      <c r="D22" t="s">
        <v>15</v>
      </c>
      <c r="E22" t="s">
        <v>23</v>
      </c>
      <c r="F22">
        <v>3700</v>
      </c>
      <c r="G22">
        <v>6</v>
      </c>
      <c r="H22">
        <v>680</v>
      </c>
      <c r="I22">
        <v>0</v>
      </c>
      <c r="J22" t="s">
        <v>35</v>
      </c>
      <c r="K22" s="1">
        <f t="shared" si="0"/>
        <v>0.18378378378378379</v>
      </c>
      <c r="L22">
        <v>6200</v>
      </c>
      <c r="M22">
        <f t="shared" si="1"/>
        <v>-2500</v>
      </c>
      <c r="N22" s="4">
        <f t="shared" si="2"/>
        <v>-0.40322580645161288</v>
      </c>
    </row>
    <row r="23" spans="1:14" x14ac:dyDescent="0.3">
      <c r="A23">
        <v>1022</v>
      </c>
      <c r="B23" s="2">
        <v>45201</v>
      </c>
      <c r="C23" t="s">
        <v>17</v>
      </c>
      <c r="D23" t="s">
        <v>18</v>
      </c>
      <c r="E23" t="s">
        <v>16</v>
      </c>
      <c r="F23">
        <v>22000</v>
      </c>
      <c r="G23">
        <v>3</v>
      </c>
      <c r="H23">
        <v>6500</v>
      </c>
      <c r="I23">
        <v>0.05</v>
      </c>
      <c r="J23" t="s">
        <v>35</v>
      </c>
      <c r="K23" s="1">
        <f t="shared" si="0"/>
        <v>0.29545454545454547</v>
      </c>
      <c r="L23">
        <v>3700</v>
      </c>
      <c r="M23" s="3">
        <f t="shared" si="1"/>
        <v>18300</v>
      </c>
      <c r="N23" s="4">
        <f t="shared" si="2"/>
        <v>4.9459459459459456</v>
      </c>
    </row>
    <row r="24" spans="1:14" x14ac:dyDescent="0.3">
      <c r="A24">
        <v>1023</v>
      </c>
      <c r="B24" s="2">
        <v>45232</v>
      </c>
      <c r="C24" t="s">
        <v>21</v>
      </c>
      <c r="D24" t="s">
        <v>22</v>
      </c>
      <c r="E24" t="s">
        <v>19</v>
      </c>
      <c r="F24">
        <v>9400</v>
      </c>
      <c r="G24">
        <v>2</v>
      </c>
      <c r="H24">
        <v>1700</v>
      </c>
      <c r="I24">
        <v>0.15</v>
      </c>
      <c r="J24" t="s">
        <v>35</v>
      </c>
      <c r="K24" s="1">
        <f t="shared" si="0"/>
        <v>0.18085106382978725</v>
      </c>
      <c r="L24">
        <v>22000</v>
      </c>
      <c r="M24" s="3">
        <f t="shared" si="1"/>
        <v>-12600</v>
      </c>
      <c r="N24" s="4">
        <f t="shared" si="2"/>
        <v>-0.57272727272727275</v>
      </c>
    </row>
    <row r="25" spans="1:14" x14ac:dyDescent="0.3">
      <c r="A25">
        <v>1024</v>
      </c>
      <c r="B25" s="2">
        <v>45262</v>
      </c>
      <c r="C25" t="s">
        <v>24</v>
      </c>
      <c r="D25" t="s">
        <v>25</v>
      </c>
      <c r="E25" t="s">
        <v>23</v>
      </c>
      <c r="F25">
        <v>4200</v>
      </c>
      <c r="G25">
        <v>5</v>
      </c>
      <c r="H25">
        <v>780</v>
      </c>
      <c r="I25">
        <v>0</v>
      </c>
      <c r="J25" t="s">
        <v>35</v>
      </c>
      <c r="K25" s="1">
        <f t="shared" si="0"/>
        <v>0.18571428571428572</v>
      </c>
      <c r="L25">
        <v>9400</v>
      </c>
      <c r="M25">
        <f t="shared" si="1"/>
        <v>-5200</v>
      </c>
      <c r="N25" s="4">
        <f t="shared" si="2"/>
        <v>-0.55319148936170215</v>
      </c>
    </row>
    <row r="26" spans="1:14" x14ac:dyDescent="0.3">
      <c r="A26">
        <v>1025</v>
      </c>
      <c r="B26" s="2">
        <v>44929</v>
      </c>
      <c r="C26" t="s">
        <v>26</v>
      </c>
      <c r="D26" t="s">
        <v>15</v>
      </c>
      <c r="E26" t="s">
        <v>16</v>
      </c>
      <c r="F26">
        <v>15000</v>
      </c>
      <c r="G26">
        <v>2</v>
      </c>
      <c r="H26">
        <v>3600</v>
      </c>
      <c r="I26">
        <v>0.1</v>
      </c>
      <c r="J26" t="s">
        <v>43</v>
      </c>
      <c r="K26" s="1">
        <f t="shared" si="0"/>
        <v>0.24</v>
      </c>
      <c r="L26">
        <v>4200</v>
      </c>
      <c r="M26" s="3">
        <f t="shared" si="1"/>
        <v>10800</v>
      </c>
      <c r="N26" s="4">
        <f t="shared" si="2"/>
        <v>2.5714285714285716</v>
      </c>
    </row>
    <row r="27" spans="1:14" x14ac:dyDescent="0.3">
      <c r="A27">
        <v>1026</v>
      </c>
      <c r="B27" s="2">
        <v>44960</v>
      </c>
      <c r="C27" t="s">
        <v>27</v>
      </c>
      <c r="D27" t="s">
        <v>18</v>
      </c>
      <c r="E27" t="s">
        <v>19</v>
      </c>
      <c r="F27">
        <v>8000</v>
      </c>
      <c r="G27">
        <v>1</v>
      </c>
      <c r="H27">
        <v>1250</v>
      </c>
      <c r="I27">
        <v>0.2</v>
      </c>
      <c r="J27" t="s">
        <v>43</v>
      </c>
      <c r="K27" s="1">
        <f t="shared" si="0"/>
        <v>0.15625</v>
      </c>
      <c r="L27">
        <v>15000</v>
      </c>
      <c r="M27" s="3">
        <f t="shared" si="1"/>
        <v>-7000</v>
      </c>
      <c r="N27" s="4">
        <f t="shared" si="2"/>
        <v>-0.46666666666666667</v>
      </c>
    </row>
    <row r="28" spans="1:14" x14ac:dyDescent="0.3">
      <c r="A28">
        <v>1027</v>
      </c>
      <c r="B28" s="2">
        <v>44988</v>
      </c>
      <c r="C28" t="s">
        <v>28</v>
      </c>
      <c r="D28" t="s">
        <v>22</v>
      </c>
      <c r="E28" t="s">
        <v>23</v>
      </c>
      <c r="F28">
        <v>3400</v>
      </c>
      <c r="G28">
        <v>5</v>
      </c>
      <c r="H28">
        <v>600</v>
      </c>
      <c r="I28">
        <v>0</v>
      </c>
      <c r="J28" t="s">
        <v>43</v>
      </c>
      <c r="K28" s="1">
        <f t="shared" si="0"/>
        <v>0.17647058823529413</v>
      </c>
      <c r="L28">
        <v>8000</v>
      </c>
      <c r="M28">
        <f t="shared" si="1"/>
        <v>-4600</v>
      </c>
      <c r="N28" s="4">
        <f t="shared" si="2"/>
        <v>-0.57499999999999996</v>
      </c>
    </row>
    <row r="29" spans="1:14" x14ac:dyDescent="0.3">
      <c r="A29">
        <v>1028</v>
      </c>
      <c r="B29" s="2">
        <v>45019</v>
      </c>
      <c r="C29" t="s">
        <v>29</v>
      </c>
      <c r="D29" t="s">
        <v>25</v>
      </c>
      <c r="E29" t="s">
        <v>16</v>
      </c>
      <c r="F29">
        <v>17000</v>
      </c>
      <c r="G29">
        <v>3</v>
      </c>
      <c r="H29">
        <v>4500</v>
      </c>
      <c r="I29">
        <v>0.15</v>
      </c>
      <c r="J29" t="s">
        <v>43</v>
      </c>
      <c r="K29" s="1">
        <f t="shared" si="0"/>
        <v>0.26470588235294118</v>
      </c>
      <c r="L29">
        <v>3400</v>
      </c>
      <c r="M29" s="3">
        <f t="shared" si="1"/>
        <v>13600</v>
      </c>
      <c r="N29" s="4">
        <f t="shared" si="2"/>
        <v>4</v>
      </c>
    </row>
    <row r="30" spans="1:14" x14ac:dyDescent="0.3">
      <c r="A30">
        <v>1029</v>
      </c>
      <c r="B30" s="2">
        <v>45049</v>
      </c>
      <c r="C30" t="s">
        <v>30</v>
      </c>
      <c r="D30" t="s">
        <v>15</v>
      </c>
      <c r="E30" t="s">
        <v>19</v>
      </c>
      <c r="F30">
        <v>7100</v>
      </c>
      <c r="G30">
        <v>2</v>
      </c>
      <c r="H30">
        <v>920</v>
      </c>
      <c r="I30">
        <v>0.25</v>
      </c>
      <c r="J30" t="s">
        <v>43</v>
      </c>
      <c r="K30" s="1">
        <f t="shared" si="0"/>
        <v>0.12957746478873239</v>
      </c>
      <c r="L30">
        <v>17000</v>
      </c>
      <c r="M30" s="3">
        <f t="shared" si="1"/>
        <v>-9900</v>
      </c>
      <c r="N30" s="4">
        <f t="shared" si="2"/>
        <v>-0.58235294117647063</v>
      </c>
    </row>
    <row r="31" spans="1:14" x14ac:dyDescent="0.3">
      <c r="A31">
        <v>1030</v>
      </c>
      <c r="B31" s="2">
        <v>45080</v>
      </c>
      <c r="C31" t="s">
        <v>31</v>
      </c>
      <c r="D31" t="s">
        <v>18</v>
      </c>
      <c r="E31" t="s">
        <v>23</v>
      </c>
      <c r="F31">
        <v>2800</v>
      </c>
      <c r="G31">
        <v>4</v>
      </c>
      <c r="H31">
        <v>460</v>
      </c>
      <c r="I31">
        <v>0</v>
      </c>
      <c r="J31" t="s">
        <v>43</v>
      </c>
      <c r="K31" s="1">
        <f t="shared" si="0"/>
        <v>0.16428571428571428</v>
      </c>
      <c r="L31">
        <v>7100</v>
      </c>
      <c r="M31">
        <f t="shared" si="1"/>
        <v>-4300</v>
      </c>
      <c r="N31" s="4">
        <f t="shared" si="2"/>
        <v>-0.60563380281690138</v>
      </c>
    </row>
    <row r="32" spans="1:14" x14ac:dyDescent="0.3">
      <c r="A32">
        <v>1031</v>
      </c>
      <c r="B32" s="2">
        <v>45110</v>
      </c>
      <c r="C32" t="s">
        <v>32</v>
      </c>
      <c r="D32" t="s">
        <v>22</v>
      </c>
      <c r="E32" t="s">
        <v>16</v>
      </c>
      <c r="F32">
        <v>20000</v>
      </c>
      <c r="G32">
        <v>2</v>
      </c>
      <c r="H32">
        <v>5800</v>
      </c>
      <c r="I32">
        <v>0.1</v>
      </c>
      <c r="J32" t="s">
        <v>43</v>
      </c>
      <c r="K32" s="1">
        <f t="shared" si="0"/>
        <v>0.28999999999999998</v>
      </c>
      <c r="L32">
        <v>2800</v>
      </c>
      <c r="M32" s="3">
        <f t="shared" si="1"/>
        <v>17200</v>
      </c>
      <c r="N32" s="4">
        <f t="shared" si="2"/>
        <v>6.1428571428571432</v>
      </c>
    </row>
    <row r="33" spans="1:14" x14ac:dyDescent="0.3">
      <c r="A33">
        <v>1032</v>
      </c>
      <c r="B33" s="2">
        <v>45141</v>
      </c>
      <c r="C33" t="s">
        <v>33</v>
      </c>
      <c r="D33" t="s">
        <v>25</v>
      </c>
      <c r="E33" t="s">
        <v>19</v>
      </c>
      <c r="F33">
        <v>6300</v>
      </c>
      <c r="G33">
        <v>1</v>
      </c>
      <c r="H33">
        <v>900</v>
      </c>
      <c r="I33">
        <v>0.2</v>
      </c>
      <c r="J33" t="s">
        <v>43</v>
      </c>
      <c r="K33" s="1">
        <f t="shared" si="0"/>
        <v>0.14285714285714285</v>
      </c>
      <c r="L33">
        <v>20000</v>
      </c>
      <c r="M33" s="3">
        <f t="shared" si="1"/>
        <v>-13700</v>
      </c>
      <c r="N33" s="4">
        <f t="shared" si="2"/>
        <v>-0.68500000000000005</v>
      </c>
    </row>
    <row r="34" spans="1:14" x14ac:dyDescent="0.3">
      <c r="A34">
        <v>1033</v>
      </c>
      <c r="B34" s="2">
        <v>45172</v>
      </c>
      <c r="C34" t="s">
        <v>34</v>
      </c>
      <c r="D34" t="s">
        <v>15</v>
      </c>
      <c r="E34" t="s">
        <v>23</v>
      </c>
      <c r="F34">
        <v>3800</v>
      </c>
      <c r="G34">
        <v>6</v>
      </c>
      <c r="H34">
        <v>700</v>
      </c>
      <c r="I34">
        <v>0</v>
      </c>
      <c r="J34" t="s">
        <v>43</v>
      </c>
      <c r="K34" s="1">
        <f t="shared" si="0"/>
        <v>0.18421052631578946</v>
      </c>
      <c r="L34">
        <v>6300</v>
      </c>
      <c r="M34">
        <f t="shared" si="1"/>
        <v>-2500</v>
      </c>
      <c r="N34" s="4">
        <f t="shared" si="2"/>
        <v>-0.3968253968253968</v>
      </c>
    </row>
    <row r="35" spans="1:14" x14ac:dyDescent="0.3">
      <c r="A35">
        <v>1034</v>
      </c>
      <c r="B35" s="2">
        <v>45202</v>
      </c>
      <c r="C35" t="s">
        <v>36</v>
      </c>
      <c r="D35" t="s">
        <v>18</v>
      </c>
      <c r="E35" t="s">
        <v>16</v>
      </c>
      <c r="F35">
        <v>23000</v>
      </c>
      <c r="G35">
        <v>3</v>
      </c>
      <c r="H35">
        <v>6800</v>
      </c>
      <c r="I35">
        <v>0.05</v>
      </c>
      <c r="J35" t="s">
        <v>43</v>
      </c>
      <c r="K35" s="1">
        <f t="shared" si="0"/>
        <v>0.29565217391304349</v>
      </c>
      <c r="L35">
        <v>3800</v>
      </c>
      <c r="M35" s="3">
        <f t="shared" si="1"/>
        <v>19200</v>
      </c>
      <c r="N35" s="4">
        <f t="shared" si="2"/>
        <v>5.0526315789473681</v>
      </c>
    </row>
    <row r="36" spans="1:14" x14ac:dyDescent="0.3">
      <c r="A36">
        <v>1035</v>
      </c>
      <c r="B36" s="2">
        <v>45233</v>
      </c>
      <c r="C36" t="s">
        <v>37</v>
      </c>
      <c r="D36" t="s">
        <v>22</v>
      </c>
      <c r="E36" t="s">
        <v>19</v>
      </c>
      <c r="F36">
        <v>9600</v>
      </c>
      <c r="G36">
        <v>2</v>
      </c>
      <c r="H36">
        <v>1800</v>
      </c>
      <c r="I36">
        <v>0.15</v>
      </c>
      <c r="J36" t="s">
        <v>43</v>
      </c>
      <c r="K36" s="1">
        <f t="shared" si="0"/>
        <v>0.1875</v>
      </c>
      <c r="L36">
        <v>23000</v>
      </c>
      <c r="M36" s="3">
        <f t="shared" si="1"/>
        <v>-13400</v>
      </c>
      <c r="N36" s="4">
        <f t="shared" si="2"/>
        <v>-0.58260869565217388</v>
      </c>
    </row>
    <row r="37" spans="1:14" x14ac:dyDescent="0.3">
      <c r="A37">
        <v>1036</v>
      </c>
      <c r="B37" s="2">
        <v>45263</v>
      </c>
      <c r="C37" t="s">
        <v>38</v>
      </c>
      <c r="D37" t="s">
        <v>25</v>
      </c>
      <c r="E37" t="s">
        <v>23</v>
      </c>
      <c r="F37">
        <v>4300</v>
      </c>
      <c r="G37">
        <v>5</v>
      </c>
      <c r="H37">
        <v>800</v>
      </c>
      <c r="I37">
        <v>0</v>
      </c>
      <c r="J37" t="s">
        <v>43</v>
      </c>
      <c r="K37" s="1">
        <f t="shared" si="0"/>
        <v>0.18604651162790697</v>
      </c>
      <c r="L37">
        <v>9600</v>
      </c>
      <c r="M37">
        <f t="shared" si="1"/>
        <v>-5300</v>
      </c>
      <c r="N37" s="4">
        <f t="shared" si="2"/>
        <v>-0.55208333333333337</v>
      </c>
    </row>
    <row r="38" spans="1:14" x14ac:dyDescent="0.3">
      <c r="A38">
        <v>1037</v>
      </c>
      <c r="B38" s="2">
        <v>44930</v>
      </c>
      <c r="C38" t="s">
        <v>39</v>
      </c>
      <c r="D38" t="s">
        <v>15</v>
      </c>
      <c r="E38" t="s">
        <v>16</v>
      </c>
      <c r="F38">
        <v>16000</v>
      </c>
      <c r="G38">
        <v>2</v>
      </c>
      <c r="H38">
        <v>3700</v>
      </c>
      <c r="I38">
        <v>0.1</v>
      </c>
      <c r="J38" t="s">
        <v>44</v>
      </c>
      <c r="K38" s="1">
        <f t="shared" si="0"/>
        <v>0.23125000000000001</v>
      </c>
      <c r="L38">
        <v>4300</v>
      </c>
      <c r="M38" s="3">
        <f t="shared" si="1"/>
        <v>11700</v>
      </c>
      <c r="N38" s="4">
        <f t="shared" si="2"/>
        <v>2.7209302325581395</v>
      </c>
    </row>
    <row r="39" spans="1:14" x14ac:dyDescent="0.3">
      <c r="A39">
        <v>1038</v>
      </c>
      <c r="B39" s="2">
        <v>44961</v>
      </c>
      <c r="C39" t="s">
        <v>40</v>
      </c>
      <c r="D39" t="s">
        <v>18</v>
      </c>
      <c r="E39" t="s">
        <v>19</v>
      </c>
      <c r="F39">
        <v>8200</v>
      </c>
      <c r="G39">
        <v>1</v>
      </c>
      <c r="H39">
        <v>1300</v>
      </c>
      <c r="I39">
        <v>0.2</v>
      </c>
      <c r="J39" t="s">
        <v>44</v>
      </c>
      <c r="K39" s="1">
        <f t="shared" si="0"/>
        <v>0.15853658536585366</v>
      </c>
      <c r="L39">
        <v>16000</v>
      </c>
      <c r="M39" s="3">
        <f t="shared" si="1"/>
        <v>-7800</v>
      </c>
      <c r="N39" s="4">
        <f t="shared" si="2"/>
        <v>-0.48749999999999999</v>
      </c>
    </row>
    <row r="40" spans="1:14" x14ac:dyDescent="0.3">
      <c r="A40">
        <v>1039</v>
      </c>
      <c r="B40" s="2">
        <v>44989</v>
      </c>
      <c r="C40" t="s">
        <v>41</v>
      </c>
      <c r="D40" t="s">
        <v>22</v>
      </c>
      <c r="E40" t="s">
        <v>23</v>
      </c>
      <c r="F40">
        <v>3500</v>
      </c>
      <c r="G40">
        <v>5</v>
      </c>
      <c r="H40">
        <v>620</v>
      </c>
      <c r="I40">
        <v>0</v>
      </c>
      <c r="J40" t="s">
        <v>44</v>
      </c>
      <c r="K40" s="1">
        <f t="shared" si="0"/>
        <v>0.17714285714285713</v>
      </c>
      <c r="L40">
        <v>8200</v>
      </c>
      <c r="M40">
        <f t="shared" si="1"/>
        <v>-4700</v>
      </c>
      <c r="N40" s="4">
        <f t="shared" si="2"/>
        <v>-0.57317073170731703</v>
      </c>
    </row>
    <row r="41" spans="1:14" x14ac:dyDescent="0.3">
      <c r="A41">
        <v>1040</v>
      </c>
      <c r="B41" s="2">
        <v>45020</v>
      </c>
      <c r="C41" t="s">
        <v>42</v>
      </c>
      <c r="D41" t="s">
        <v>25</v>
      </c>
      <c r="E41" t="s">
        <v>16</v>
      </c>
      <c r="F41">
        <v>17500</v>
      </c>
      <c r="G41">
        <v>3</v>
      </c>
      <c r="H41">
        <v>4700</v>
      </c>
      <c r="I41">
        <v>0.15</v>
      </c>
      <c r="J41" t="s">
        <v>44</v>
      </c>
      <c r="K41" s="1">
        <f t="shared" si="0"/>
        <v>0.26857142857142857</v>
      </c>
      <c r="L41">
        <v>3500</v>
      </c>
      <c r="M41" s="3">
        <f t="shared" si="1"/>
        <v>14000</v>
      </c>
      <c r="N41" s="4">
        <f t="shared" si="2"/>
        <v>4</v>
      </c>
    </row>
    <row r="42" spans="1:14" x14ac:dyDescent="0.3">
      <c r="A42">
        <v>1041</v>
      </c>
      <c r="B42" s="2">
        <v>45050</v>
      </c>
      <c r="C42" t="s">
        <v>14</v>
      </c>
      <c r="D42" t="s">
        <v>15</v>
      </c>
      <c r="E42" t="s">
        <v>19</v>
      </c>
      <c r="F42">
        <v>7300</v>
      </c>
      <c r="G42">
        <v>2</v>
      </c>
      <c r="H42">
        <v>950</v>
      </c>
      <c r="I42">
        <v>0.25</v>
      </c>
      <c r="J42" t="s">
        <v>44</v>
      </c>
      <c r="K42" s="1">
        <f t="shared" si="0"/>
        <v>0.13013698630136986</v>
      </c>
      <c r="L42">
        <v>17500</v>
      </c>
      <c r="M42" s="3">
        <f t="shared" si="1"/>
        <v>-10200</v>
      </c>
      <c r="N42" s="4">
        <f t="shared" si="2"/>
        <v>-0.58285714285714285</v>
      </c>
    </row>
    <row r="43" spans="1:14" x14ac:dyDescent="0.3">
      <c r="A43">
        <v>1042</v>
      </c>
      <c r="B43" s="2">
        <v>45081</v>
      </c>
      <c r="C43" t="s">
        <v>17</v>
      </c>
      <c r="D43" t="s">
        <v>18</v>
      </c>
      <c r="E43" t="s">
        <v>23</v>
      </c>
      <c r="F43">
        <v>2900</v>
      </c>
      <c r="G43">
        <v>4</v>
      </c>
      <c r="H43">
        <v>480</v>
      </c>
      <c r="I43">
        <v>0</v>
      </c>
      <c r="J43" t="s">
        <v>44</v>
      </c>
      <c r="K43" s="1">
        <f t="shared" si="0"/>
        <v>0.16551724137931034</v>
      </c>
      <c r="L43">
        <v>7300</v>
      </c>
      <c r="M43">
        <f t="shared" si="1"/>
        <v>-4400</v>
      </c>
      <c r="N43" s="4">
        <f t="shared" si="2"/>
        <v>-0.60273972602739723</v>
      </c>
    </row>
    <row r="44" spans="1:14" x14ac:dyDescent="0.3">
      <c r="A44">
        <v>1043</v>
      </c>
      <c r="B44" s="2">
        <v>45111</v>
      </c>
      <c r="C44" t="s">
        <v>21</v>
      </c>
      <c r="D44" t="s">
        <v>22</v>
      </c>
      <c r="E44" t="s">
        <v>16</v>
      </c>
      <c r="F44">
        <v>21000</v>
      </c>
      <c r="G44">
        <v>2</v>
      </c>
      <c r="H44">
        <v>6000</v>
      </c>
      <c r="I44">
        <v>0.1</v>
      </c>
      <c r="J44" t="s">
        <v>44</v>
      </c>
      <c r="K44" s="1">
        <f t="shared" si="0"/>
        <v>0.2857142857142857</v>
      </c>
      <c r="L44">
        <v>2900</v>
      </c>
      <c r="M44" s="3">
        <f t="shared" si="1"/>
        <v>18100</v>
      </c>
      <c r="N44" s="4">
        <f t="shared" si="2"/>
        <v>6.2413793103448274</v>
      </c>
    </row>
    <row r="45" spans="1:14" x14ac:dyDescent="0.3">
      <c r="A45">
        <v>1044</v>
      </c>
      <c r="B45" s="2">
        <v>45142</v>
      </c>
      <c r="C45" t="s">
        <v>24</v>
      </c>
      <c r="D45" t="s">
        <v>25</v>
      </c>
      <c r="E45" t="s">
        <v>19</v>
      </c>
      <c r="F45">
        <v>6400</v>
      </c>
      <c r="G45">
        <v>1</v>
      </c>
      <c r="H45">
        <v>920</v>
      </c>
      <c r="I45">
        <v>0.2</v>
      </c>
      <c r="J45" t="s">
        <v>44</v>
      </c>
      <c r="K45" s="1">
        <f t="shared" si="0"/>
        <v>0.14374999999999999</v>
      </c>
      <c r="L45">
        <v>21000</v>
      </c>
      <c r="M45" s="3">
        <f t="shared" si="1"/>
        <v>-14600</v>
      </c>
      <c r="N45" s="4">
        <f t="shared" si="2"/>
        <v>-0.69523809523809521</v>
      </c>
    </row>
    <row r="46" spans="1:14" x14ac:dyDescent="0.3">
      <c r="A46">
        <v>1045</v>
      </c>
      <c r="B46" s="2">
        <v>45173</v>
      </c>
      <c r="C46" t="s">
        <v>26</v>
      </c>
      <c r="D46" t="s">
        <v>15</v>
      </c>
      <c r="E46" t="s">
        <v>23</v>
      </c>
      <c r="F46">
        <v>3900</v>
      </c>
      <c r="G46">
        <v>6</v>
      </c>
      <c r="H46">
        <v>720</v>
      </c>
      <c r="I46">
        <v>0</v>
      </c>
      <c r="J46" t="s">
        <v>44</v>
      </c>
      <c r="K46" s="1">
        <f t="shared" si="0"/>
        <v>0.18461538461538463</v>
      </c>
      <c r="L46">
        <v>6400</v>
      </c>
      <c r="M46">
        <f t="shared" si="1"/>
        <v>-2500</v>
      </c>
      <c r="N46" s="4">
        <f t="shared" si="2"/>
        <v>-0.390625</v>
      </c>
    </row>
    <row r="47" spans="1:14" x14ac:dyDescent="0.3">
      <c r="A47">
        <v>1046</v>
      </c>
      <c r="B47" s="2">
        <v>45203</v>
      </c>
      <c r="C47" t="s">
        <v>27</v>
      </c>
      <c r="D47" t="s">
        <v>18</v>
      </c>
      <c r="E47" t="s">
        <v>16</v>
      </c>
      <c r="F47">
        <v>24000</v>
      </c>
      <c r="G47">
        <v>3</v>
      </c>
      <c r="H47">
        <v>7000</v>
      </c>
      <c r="I47">
        <v>0.05</v>
      </c>
      <c r="J47" t="s">
        <v>44</v>
      </c>
      <c r="K47" s="1">
        <f t="shared" si="0"/>
        <v>0.29166666666666669</v>
      </c>
      <c r="L47">
        <v>3900</v>
      </c>
      <c r="M47" s="3">
        <f t="shared" si="1"/>
        <v>20100</v>
      </c>
      <c r="N47" s="4">
        <f t="shared" si="2"/>
        <v>5.1538461538461542</v>
      </c>
    </row>
    <row r="48" spans="1:14" x14ac:dyDescent="0.3">
      <c r="A48">
        <v>1047</v>
      </c>
      <c r="B48" s="2">
        <v>45234</v>
      </c>
      <c r="C48" t="s">
        <v>28</v>
      </c>
      <c r="D48" t="s">
        <v>22</v>
      </c>
      <c r="E48" t="s">
        <v>19</v>
      </c>
      <c r="F48">
        <v>9800</v>
      </c>
      <c r="G48">
        <v>2</v>
      </c>
      <c r="H48">
        <v>1900</v>
      </c>
      <c r="I48">
        <v>0.15</v>
      </c>
      <c r="J48" t="s">
        <v>44</v>
      </c>
      <c r="K48" s="1">
        <f t="shared" si="0"/>
        <v>0.19387755102040816</v>
      </c>
      <c r="L48">
        <v>24000</v>
      </c>
      <c r="M48" s="3">
        <f t="shared" si="1"/>
        <v>-14200</v>
      </c>
      <c r="N48" s="4">
        <f>M48/L48</f>
        <v>-0.59166666666666667</v>
      </c>
    </row>
    <row r="49" spans="1:14" x14ac:dyDescent="0.3">
      <c r="A49">
        <v>1048</v>
      </c>
      <c r="B49" s="2">
        <v>45264</v>
      </c>
      <c r="C49" t="s">
        <v>29</v>
      </c>
      <c r="D49" t="s">
        <v>25</v>
      </c>
      <c r="E49" t="s">
        <v>23</v>
      </c>
      <c r="F49">
        <v>4400</v>
      </c>
      <c r="G49">
        <v>5</v>
      </c>
      <c r="H49">
        <v>820</v>
      </c>
      <c r="I49">
        <v>0</v>
      </c>
      <c r="J49" t="s">
        <v>44</v>
      </c>
      <c r="K49" s="1">
        <f t="shared" si="0"/>
        <v>0.18636363636363637</v>
      </c>
      <c r="L49">
        <v>9800</v>
      </c>
      <c r="M49">
        <f t="shared" si="1"/>
        <v>-5400</v>
      </c>
      <c r="N49" s="4">
        <f>M49/L49</f>
        <v>-0.55102040816326525</v>
      </c>
    </row>
    <row r="50" spans="1:14" x14ac:dyDescent="0.3">
      <c r="A50">
        <v>1049</v>
      </c>
      <c r="B50" s="2">
        <v>44931</v>
      </c>
      <c r="C50" t="s">
        <v>30</v>
      </c>
      <c r="D50" t="s">
        <v>15</v>
      </c>
      <c r="E50" t="s">
        <v>16</v>
      </c>
      <c r="F50">
        <v>16500</v>
      </c>
      <c r="G50">
        <v>2</v>
      </c>
      <c r="H50">
        <v>3800</v>
      </c>
      <c r="I50">
        <v>0.1</v>
      </c>
      <c r="J50" t="s">
        <v>45</v>
      </c>
      <c r="K50" s="1">
        <f t="shared" si="0"/>
        <v>0.23030303030303031</v>
      </c>
      <c r="L50">
        <v>4400</v>
      </c>
      <c r="M50" s="3">
        <f t="shared" si="1"/>
        <v>12100</v>
      </c>
      <c r="N50" s="4">
        <f t="shared" si="2"/>
        <v>2.75</v>
      </c>
    </row>
    <row r="51" spans="1:14" x14ac:dyDescent="0.3">
      <c r="A51">
        <v>1050</v>
      </c>
      <c r="B51" s="2">
        <v>44962</v>
      </c>
      <c r="C51" t="s">
        <v>31</v>
      </c>
      <c r="D51" t="s">
        <v>18</v>
      </c>
      <c r="E51" t="s">
        <v>19</v>
      </c>
      <c r="F51">
        <v>8500</v>
      </c>
      <c r="G51">
        <v>1</v>
      </c>
      <c r="H51">
        <v>1350</v>
      </c>
      <c r="I51">
        <v>0.2</v>
      </c>
      <c r="J51" t="s">
        <v>45</v>
      </c>
      <c r="K51" s="1">
        <f t="shared" si="0"/>
        <v>0.1588235294117647</v>
      </c>
      <c r="L51">
        <v>16500</v>
      </c>
      <c r="M51" s="3">
        <f t="shared" si="1"/>
        <v>-8000</v>
      </c>
      <c r="N51" s="4">
        <f t="shared" si="2"/>
        <v>-0.48484848484848486</v>
      </c>
    </row>
  </sheetData>
  <conditionalFormatting sqref="N3:N51">
    <cfRule type="cellIs" dxfId="1" priority="1" operator="greaterThan">
      <formula>2.7731</formula>
    </cfRule>
    <cfRule type="cellIs" dxfId="0" priority="2" operator="lessThan">
      <formula>2.7731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Region-Wise Profit Margin Analy</vt:lpstr>
      <vt:lpstr>Category Growth Performance</vt:lpstr>
      <vt:lpstr>Category Revenue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Chhavi Agrawal</dc:creator>
  <cp:lastModifiedBy>Chhavi Agrawal</cp:lastModifiedBy>
  <dcterms:created xsi:type="dcterms:W3CDTF">2026-04-21T17:13:51Z</dcterms:created>
  <dcterms:modified xsi:type="dcterms:W3CDTF">2026-04-25T08:21:41Z</dcterms:modified>
</cp:coreProperties>
</file>